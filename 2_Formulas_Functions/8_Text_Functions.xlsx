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Mac\VM_Files\Projects\Course_Excel\03_Outputs\2_Formulas_Functions\"/>
    </mc:Choice>
  </mc:AlternateContent>
  <xr:revisionPtr revIDLastSave="0" documentId="13_ncr:1_{AB71044A-BF04-4C44-BF89-E2A51D4D5982}" xr6:coauthVersionLast="47" xr6:coauthVersionMax="47" xr10:uidLastSave="{00000000-0000-0000-0000-000000000000}"/>
  <bookViews>
    <workbookView xWindow="-96" yWindow="-96" windowWidth="17832" windowHeight="10548"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2" l="1" a="1"/>
  <c r="A6" i="12"/>
  <c r="A9" i="12" a="1"/>
  <c r="A9" i="12"/>
  <c r="B9" i="12" s="1"/>
  <c r="A3" i="12"/>
  <c r="V7" i="8"/>
  <c r="V8" i="8"/>
  <c r="V9" i="8"/>
  <c r="V10" i="8"/>
  <c r="V11" i="8"/>
  <c r="V12" i="8"/>
  <c r="V13" i="8"/>
  <c r="V14" i="8"/>
  <c r="V15" i="8"/>
  <c r="V16" i="8"/>
  <c r="V17" i="8"/>
  <c r="V18" i="8"/>
  <c r="V19" i="8"/>
  <c r="V20" i="8"/>
  <c r="V21" i="8"/>
  <c r="U3" i="8"/>
  <c r="U4" i="8"/>
  <c r="U5" i="8"/>
  <c r="U6" i="8"/>
  <c r="U7" i="8"/>
  <c r="U8" i="8"/>
  <c r="U9" i="8"/>
  <c r="U10" i="8"/>
  <c r="U11" i="8"/>
  <c r="U12" i="8"/>
  <c r="U13" i="8"/>
  <c r="U14" i="8"/>
  <c r="U15" i="8"/>
  <c r="U16" i="8"/>
  <c r="U17" i="8"/>
  <c r="U18" i="8"/>
  <c r="U19" i="8"/>
  <c r="U20" i="8"/>
  <c r="U21" i="8"/>
  <c r="T3" i="8"/>
  <c r="T4" i="8"/>
  <c r="T5" i="8"/>
  <c r="T6" i="8"/>
  <c r="T7" i="8"/>
  <c r="T8" i="8"/>
  <c r="T9" i="8"/>
  <c r="T10" i="8"/>
  <c r="T11" i="8"/>
  <c r="T12" i="8"/>
  <c r="T13" i="8"/>
  <c r="T14" i="8"/>
  <c r="T15" i="8"/>
  <c r="T16" i="8"/>
  <c r="T17" i="8"/>
  <c r="T18" i="8"/>
  <c r="T19" i="8"/>
  <c r="T20" i="8"/>
  <c r="T21" i="8"/>
  <c r="V3" i="8"/>
  <c r="V4" i="8"/>
  <c r="V5" i="8"/>
  <c r="V6" i="8"/>
  <c r="V2" i="8"/>
  <c r="T2" i="8"/>
  <c r="U2" i="8"/>
  <c r="O3" i="8"/>
  <c r="O4" i="8"/>
  <c r="O5" i="8"/>
  <c r="O6" i="8"/>
  <c r="O7" i="8"/>
  <c r="O8" i="8"/>
  <c r="O9" i="8"/>
  <c r="O10" i="8"/>
  <c r="O11" i="8"/>
  <c r="O12" i="8"/>
  <c r="O13" i="8"/>
  <c r="O14" i="8"/>
  <c r="O15" i="8"/>
  <c r="O16" i="8"/>
  <c r="O17" i="8"/>
  <c r="O18" i="8"/>
  <c r="O19" i="8"/>
  <c r="O20" i="8"/>
  <c r="O21" i="8"/>
  <c r="O2" i="8"/>
  <c r="L3" i="8" a="1"/>
  <c r="L3" i="8"/>
  <c r="L4" i="8" a="1"/>
  <c r="L4" i="8"/>
  <c r="L5" i="8" a="1"/>
  <c r="L5" i="8"/>
  <c r="L6" i="8" a="1"/>
  <c r="L6" i="8"/>
  <c r="L7" i="8" a="1"/>
  <c r="L7" i="8"/>
  <c r="L8" i="8" a="1"/>
  <c r="L8" i="8"/>
  <c r="L9" i="8" a="1"/>
  <c r="L9" i="8"/>
  <c r="L10" i="8" a="1"/>
  <c r="L10" i="8"/>
  <c r="L11" i="8" a="1"/>
  <c r="L11" i="8"/>
  <c r="L12" i="8" a="1"/>
  <c r="L12" i="8"/>
  <c r="L13" i="8" a="1"/>
  <c r="L13" i="8"/>
  <c r="L14" i="8" a="1"/>
  <c r="L14" i="8"/>
  <c r="L15" i="8" a="1"/>
  <c r="L15" i="8"/>
  <c r="L16" i="8" a="1"/>
  <c r="L16" i="8"/>
  <c r="L17" i="8" a="1"/>
  <c r="L17" i="8"/>
  <c r="L18" i="8" a="1"/>
  <c r="L18" i="8"/>
  <c r="L19" i="8" a="1"/>
  <c r="L19" i="8"/>
  <c r="L20" i="8" a="1"/>
  <c r="L20" i="8"/>
  <c r="L21" i="8" a="1"/>
  <c r="L21" i="8"/>
  <c r="L2" i="8" a="1"/>
  <c r="L2"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10" i="12" l="1"/>
  <c r="B11" i="12"/>
  <c r="B12" i="12"/>
  <c r="B13" i="12"/>
  <c r="B14" i="12"/>
  <c r="B15" i="12"/>
  <c r="B16" i="12"/>
  <c r="B17" i="12"/>
  <c r="B18" i="12"/>
  <c r="B19" i="12"/>
  <c r="B20" i="12"/>
  <c r="B21" i="12"/>
  <c r="B22" i="12"/>
  <c r="B23" i="12"/>
  <c r="B24" i="12"/>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<sst xmlns="http://schemas.openxmlformats.org/spreadsheetml/2006/main" count="609" uniqueCount="95">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</sst>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33</xdr:row>
      <xdr:rowOff>158750</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F10" zoomScale="110" zoomScaleNormal="110" workbookViewId="0">
      <selection activeCell="J4" sqref="J4"/>
    </sheetView>
  </sheetViews>
  <sheetFormatPr defaultRowHeight="14.4" x14ac:dyDescent="0.55000000000000004"/>
  <cols>
    <col min="1" max="1" width="17.578125" customWidth="1"/>
    <col min="2" max="2" width="14.26171875" customWidth="1"/>
    <col min="3" max="3" width="27.26171875" customWidth="1"/>
    <col min="4" max="4" width="17.578125" style="9" customWidth="1"/>
    <col min="5" max="5" width="26.26171875" customWidth="1"/>
    <col min="6" max="6" width="11" customWidth="1"/>
    <col min="7" max="7" width="22" customWidth="1"/>
    <col min="8" max="8" width="40" customWidth="1"/>
    <col min="9" max="9" width="8.83984375" customWidth="1"/>
    <col min="10" max="10" width="34.734375" customWidth="1"/>
    <col min="11" max="11" width="8.83984375" customWidth="1"/>
    <col min="12" max="12" width="13.3125" customWidth="1"/>
    <col min="13" max="13" width="15.47265625" customWidth="1"/>
    <col min="14" max="14" width="8.83984375" customWidth="1"/>
    <col min="15" max="15" width="16.41796875" customWidth="1"/>
    <col min="17" max="19" width="0" hidden="1" customWidth="1"/>
  </cols>
  <sheetData>
    <row r="1" spans="1:22" x14ac:dyDescent="0.55000000000000004">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55000000000000004">
      <c r="A2" s="5" t="s">
        <v>72</v>
      </c>
      <c r="B2" s="1" t="s">
        <v>42</v>
      </c>
      <c r="C2" s="1" t="s">
        <v>1</v>
      </c>
      <c r="D2" s="11">
        <v>44971.640451388892</v>
      </c>
      <c r="E2" s="1" t="s">
        <v>43</v>
      </c>
      <c r="F2" s="1" t="s">
        <v>23</v>
      </c>
      <c r="G2" s="1" t="s">
        <v>24</v>
      </c>
      <c r="H2" s="6" t="s">
        <v>11</v>
      </c>
      <c r="J2" t="str">
        <f>_xlfn.TEXTJOIN(" ", TRUE, F2:G2)</f>
        <v>457 Oak St San Jose, CA, 95101</v>
      </c>
      <c r="L2" t="str" cm="1">
        <f t="array" ref="L2:M2">_xlfn.TEXTSPLIT(B2," ")</f>
        <v>Pam</v>
      </c>
      <c r="M2" t="str">
        <v>Beesly</v>
      </c>
      <c r="O2" t="str">
        <f>RIGHT(A2,8)</f>
        <v>D0123548</v>
      </c>
      <c r="Q2">
        <f>FIND(",", G2)+LEN(", ")</f>
        <v>11</v>
      </c>
      <c r="R2">
        <f>FIND(",",G2,Q2)</f>
        <v>13</v>
      </c>
      <c r="S2" t="str">
        <f>MID(G2,Q2,R2-Q2)</f>
        <v>CA</v>
      </c>
      <c r="T2">
        <f>FIND(",", G2)</f>
        <v>9</v>
      </c>
      <c r="U2">
        <f>FIND(",",G2,10)</f>
        <v>13</v>
      </c>
      <c r="V2" t="str">
        <f>MID(G2, $T2+2,2)</f>
        <v>CA</v>
      </c>
    </row>
    <row r="3" spans="1:22" x14ac:dyDescent="0.55000000000000004">
      <c r="A3" s="5" t="s">
        <v>71</v>
      </c>
      <c r="B3" s="1" t="s">
        <v>38</v>
      </c>
      <c r="C3" s="1" t="s">
        <v>5</v>
      </c>
      <c r="D3" s="11">
        <v>45055.40662037037</v>
      </c>
      <c r="E3" s="1" t="s">
        <v>39</v>
      </c>
      <c r="F3" s="1" t="s">
        <v>25</v>
      </c>
      <c r="G3" s="1" t="s">
        <v>26</v>
      </c>
      <c r="H3" s="6" t="s">
        <v>14</v>
      </c>
      <c r="J3" t="str">
        <f t="shared" ref="J3:J21" si="0">_xlfn.TEXTJOIN(" ", TRUE, F3:G3)</f>
        <v>203 Birch St Chicago, IL, 60601</v>
      </c>
      <c r="L3" t="str" cm="1">
        <f t="array" ref="L3:M3">_xlfn.TEXTSPLIT(B3," ")</f>
        <v>Michael</v>
      </c>
      <c r="M3" t="str">
        <v>Scott</v>
      </c>
      <c r="O3" t="str">
        <f t="shared" ref="O3:O21" si="1">RIGHT(A3,8)</f>
        <v>D0123549</v>
      </c>
      <c r="Q3">
        <f t="shared" ref="Q3:Q21" si="2">FIND(",", G3)+LEN(", ")</f>
        <v>10</v>
      </c>
      <c r="R3">
        <f t="shared" ref="R3:R21" si="3">FIND(",",G3,Q3)</f>
        <v>12</v>
      </c>
      <c r="S3" t="str">
        <f t="shared" ref="S3:S21" si="4">MID(G3,Q3,R3-Q3)</f>
        <v>IL</v>
      </c>
      <c r="T3">
        <f t="shared" ref="T3:T21" si="5">FIND(",", G3)</f>
        <v>8</v>
      </c>
      <c r="U3">
        <f t="shared" ref="U3:U21" si="6">FIND(",",G3,10)</f>
        <v>12</v>
      </c>
      <c r="V3" t="str">
        <f t="shared" ref="V3:V21" si="7">MID(G3, $T3+2,2)</f>
        <v>IL</v>
      </c>
    </row>
    <row r="4" spans="1:22" x14ac:dyDescent="0.55000000000000004">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D0123550</v>
      </c>
      <c r="Q4">
        <f t="shared" si="2"/>
        <v>10</v>
      </c>
      <c r="R4">
        <f t="shared" si="3"/>
        <v>12</v>
      </c>
      <c r="S4" t="str">
        <f t="shared" si="4"/>
        <v>IL</v>
      </c>
      <c r="T4">
        <f t="shared" si="5"/>
        <v>8</v>
      </c>
      <c r="U4">
        <f t="shared" si="6"/>
        <v>12</v>
      </c>
      <c r="V4" t="str">
        <f t="shared" si="7"/>
        <v>IL</v>
      </c>
    </row>
    <row r="5" spans="1:22" x14ac:dyDescent="0.55000000000000004">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D0123551</v>
      </c>
      <c r="Q5">
        <f t="shared" si="2"/>
        <v>11</v>
      </c>
      <c r="R5">
        <f t="shared" si="3"/>
        <v>13</v>
      </c>
      <c r="S5" t="str">
        <f t="shared" si="4"/>
        <v>CA</v>
      </c>
      <c r="T5">
        <f t="shared" si="5"/>
        <v>9</v>
      </c>
      <c r="U5">
        <f t="shared" si="6"/>
        <v>13</v>
      </c>
      <c r="V5" t="str">
        <f t="shared" si="7"/>
        <v>CA</v>
      </c>
    </row>
    <row r="6" spans="1:22" x14ac:dyDescent="0.55000000000000004">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D0123552</v>
      </c>
      <c r="Q6">
        <f t="shared" si="2"/>
        <v>15</v>
      </c>
      <c r="R6">
        <f t="shared" si="3"/>
        <v>17</v>
      </c>
      <c r="S6" t="str">
        <f t="shared" si="4"/>
        <v>PA</v>
      </c>
      <c r="T6">
        <f t="shared" si="5"/>
        <v>13</v>
      </c>
      <c r="U6">
        <f t="shared" si="6"/>
        <v>13</v>
      </c>
      <c r="V6" t="str">
        <f t="shared" si="7"/>
        <v>PA</v>
      </c>
    </row>
    <row r="7" spans="1:22" x14ac:dyDescent="0.55000000000000004">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D0123553</v>
      </c>
      <c r="Q7">
        <f t="shared" si="2"/>
        <v>15</v>
      </c>
      <c r="R7">
        <f t="shared" si="3"/>
        <v>17</v>
      </c>
      <c r="S7" t="str">
        <f t="shared" si="4"/>
        <v>PA</v>
      </c>
      <c r="T7">
        <f t="shared" si="5"/>
        <v>13</v>
      </c>
      <c r="U7">
        <f t="shared" si="6"/>
        <v>13</v>
      </c>
      <c r="V7" t="str">
        <f t="shared" si="7"/>
        <v>PA</v>
      </c>
    </row>
    <row r="8" spans="1:22" x14ac:dyDescent="0.55000000000000004">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D0123554</v>
      </c>
      <c r="Q8">
        <f t="shared" si="2"/>
        <v>10</v>
      </c>
      <c r="R8">
        <f t="shared" si="3"/>
        <v>12</v>
      </c>
      <c r="S8" t="str">
        <f t="shared" si="4"/>
        <v>IL</v>
      </c>
      <c r="T8">
        <f t="shared" si="5"/>
        <v>8</v>
      </c>
      <c r="U8">
        <f t="shared" si="6"/>
        <v>12</v>
      </c>
      <c r="V8" t="str">
        <f t="shared" si="7"/>
        <v>IL</v>
      </c>
    </row>
    <row r="9" spans="1:22" x14ac:dyDescent="0.55000000000000004">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D0123555</v>
      </c>
      <c r="Q9">
        <f t="shared" si="2"/>
        <v>15</v>
      </c>
      <c r="R9">
        <f t="shared" si="3"/>
        <v>17</v>
      </c>
      <c r="S9" t="str">
        <f t="shared" si="4"/>
        <v>PA</v>
      </c>
      <c r="T9">
        <f t="shared" si="5"/>
        <v>13</v>
      </c>
      <c r="U9">
        <f t="shared" si="6"/>
        <v>13</v>
      </c>
      <c r="V9" t="str">
        <f t="shared" si="7"/>
        <v>PA</v>
      </c>
    </row>
    <row r="10" spans="1:22" x14ac:dyDescent="0.55000000000000004">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D0123556</v>
      </c>
      <c r="Q10">
        <f t="shared" si="2"/>
        <v>10</v>
      </c>
      <c r="R10">
        <f t="shared" si="3"/>
        <v>12</v>
      </c>
      <c r="S10" t="str">
        <f t="shared" si="4"/>
        <v>IL</v>
      </c>
      <c r="T10">
        <f t="shared" si="5"/>
        <v>8</v>
      </c>
      <c r="U10">
        <f t="shared" si="6"/>
        <v>12</v>
      </c>
      <c r="V10" t="str">
        <f t="shared" si="7"/>
        <v>IL</v>
      </c>
    </row>
    <row r="11" spans="1:22" x14ac:dyDescent="0.55000000000000004">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D0123557</v>
      </c>
      <c r="Q11">
        <f t="shared" si="2"/>
        <v>14</v>
      </c>
      <c r="R11">
        <f t="shared" si="3"/>
        <v>16</v>
      </c>
      <c r="S11" t="str">
        <f t="shared" si="4"/>
        <v>CA</v>
      </c>
      <c r="T11">
        <f t="shared" si="5"/>
        <v>12</v>
      </c>
      <c r="U11">
        <f t="shared" si="6"/>
        <v>12</v>
      </c>
      <c r="V11" t="str">
        <f t="shared" si="7"/>
        <v>CA</v>
      </c>
    </row>
    <row r="12" spans="1:22" x14ac:dyDescent="0.55000000000000004">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D0123558</v>
      </c>
      <c r="Q12">
        <f t="shared" si="2"/>
        <v>12</v>
      </c>
      <c r="R12">
        <f t="shared" si="3"/>
        <v>14</v>
      </c>
      <c r="S12" t="str">
        <f t="shared" si="4"/>
        <v>CA</v>
      </c>
      <c r="T12">
        <f t="shared" si="5"/>
        <v>10</v>
      </c>
      <c r="U12">
        <f t="shared" si="6"/>
        <v>10</v>
      </c>
      <c r="V12" t="str">
        <f t="shared" si="7"/>
        <v>CA</v>
      </c>
    </row>
    <row r="13" spans="1:22" x14ac:dyDescent="0.55000000000000004">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D0123559</v>
      </c>
      <c r="Q13">
        <f t="shared" si="2"/>
        <v>10</v>
      </c>
      <c r="R13">
        <f t="shared" si="3"/>
        <v>12</v>
      </c>
      <c r="S13" t="str">
        <f t="shared" si="4"/>
        <v>IL</v>
      </c>
      <c r="T13">
        <f t="shared" si="5"/>
        <v>8</v>
      </c>
      <c r="U13">
        <f t="shared" si="6"/>
        <v>12</v>
      </c>
      <c r="V13" t="str">
        <f t="shared" si="7"/>
        <v>IL</v>
      </c>
    </row>
    <row r="14" spans="1:22" x14ac:dyDescent="0.55000000000000004">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D0123560</v>
      </c>
      <c r="Q14">
        <f t="shared" si="2"/>
        <v>15</v>
      </c>
      <c r="R14">
        <f t="shared" si="3"/>
        <v>17</v>
      </c>
      <c r="S14" t="str">
        <f t="shared" si="4"/>
        <v>PA</v>
      </c>
      <c r="T14">
        <f t="shared" si="5"/>
        <v>13</v>
      </c>
      <c r="U14">
        <f t="shared" si="6"/>
        <v>13</v>
      </c>
      <c r="V14" t="str">
        <f t="shared" si="7"/>
        <v>PA</v>
      </c>
    </row>
    <row r="15" spans="1:22" x14ac:dyDescent="0.55000000000000004">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D0123561</v>
      </c>
      <c r="Q15">
        <f t="shared" si="2"/>
        <v>10</v>
      </c>
      <c r="R15">
        <f t="shared" si="3"/>
        <v>12</v>
      </c>
      <c r="S15" t="str">
        <f t="shared" si="4"/>
        <v>IL</v>
      </c>
      <c r="T15">
        <f t="shared" si="5"/>
        <v>8</v>
      </c>
      <c r="U15">
        <f t="shared" si="6"/>
        <v>12</v>
      </c>
      <c r="V15" t="str">
        <f t="shared" si="7"/>
        <v>IL</v>
      </c>
    </row>
    <row r="16" spans="1:22" x14ac:dyDescent="0.55000000000000004">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D0123562</v>
      </c>
      <c r="Q16">
        <f t="shared" si="2"/>
        <v>10</v>
      </c>
      <c r="R16">
        <f t="shared" si="3"/>
        <v>12</v>
      </c>
      <c r="S16" t="str">
        <f t="shared" si="4"/>
        <v>IL</v>
      </c>
      <c r="T16">
        <f t="shared" si="5"/>
        <v>8</v>
      </c>
      <c r="U16">
        <f t="shared" si="6"/>
        <v>12</v>
      </c>
      <c r="V16" t="str">
        <f t="shared" si="7"/>
        <v>IL</v>
      </c>
    </row>
    <row r="17" spans="1:22" x14ac:dyDescent="0.55000000000000004">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D0123563</v>
      </c>
      <c r="Q17">
        <f t="shared" si="2"/>
        <v>10</v>
      </c>
      <c r="R17">
        <f t="shared" si="3"/>
        <v>12</v>
      </c>
      <c r="S17" t="str">
        <f t="shared" si="4"/>
        <v>IL</v>
      </c>
      <c r="T17">
        <f t="shared" si="5"/>
        <v>8</v>
      </c>
      <c r="U17">
        <f t="shared" si="6"/>
        <v>12</v>
      </c>
      <c r="V17" t="str">
        <f t="shared" si="7"/>
        <v>IL</v>
      </c>
    </row>
    <row r="18" spans="1:22" x14ac:dyDescent="0.55000000000000004">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D0123564</v>
      </c>
      <c r="Q18">
        <f t="shared" si="2"/>
        <v>15</v>
      </c>
      <c r="R18">
        <f t="shared" si="3"/>
        <v>17</v>
      </c>
      <c r="S18" t="str">
        <f t="shared" si="4"/>
        <v>PA</v>
      </c>
      <c r="T18">
        <f t="shared" si="5"/>
        <v>13</v>
      </c>
      <c r="U18">
        <f t="shared" si="6"/>
        <v>13</v>
      </c>
      <c r="V18" t="str">
        <f t="shared" si="7"/>
        <v>PA</v>
      </c>
    </row>
    <row r="19" spans="1:22" x14ac:dyDescent="0.55000000000000004">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D0123565</v>
      </c>
      <c r="Q19">
        <f t="shared" si="2"/>
        <v>11</v>
      </c>
      <c r="R19">
        <f t="shared" si="3"/>
        <v>13</v>
      </c>
      <c r="S19" t="str">
        <f t="shared" si="4"/>
        <v>NY</v>
      </c>
      <c r="T19">
        <f t="shared" si="5"/>
        <v>9</v>
      </c>
      <c r="U19">
        <f t="shared" si="6"/>
        <v>13</v>
      </c>
      <c r="V19" t="str">
        <f t="shared" si="7"/>
        <v>NY</v>
      </c>
    </row>
    <row r="20" spans="1:22" x14ac:dyDescent="0.55000000000000004">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D0123566</v>
      </c>
      <c r="Q20">
        <f t="shared" si="2"/>
        <v>15</v>
      </c>
      <c r="R20">
        <f t="shared" si="3"/>
        <v>17</v>
      </c>
      <c r="S20" t="str">
        <f t="shared" si="4"/>
        <v>PA</v>
      </c>
      <c r="T20">
        <f t="shared" si="5"/>
        <v>13</v>
      </c>
      <c r="U20">
        <f t="shared" si="6"/>
        <v>13</v>
      </c>
      <c r="V20" t="str">
        <f t="shared" si="7"/>
        <v>PA</v>
      </c>
    </row>
    <row r="21" spans="1:22" ht="14.7" thickBot="1" x14ac:dyDescent="0.6">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D0123567</v>
      </c>
      <c r="Q21">
        <f t="shared" si="2"/>
        <v>11</v>
      </c>
      <c r="R21">
        <f t="shared" si="3"/>
        <v>13</v>
      </c>
      <c r="S21" t="str">
        <f t="shared" si="4"/>
        <v>NY</v>
      </c>
      <c r="T21">
        <f t="shared" si="5"/>
        <v>9</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55000000000000004"/>
  <cols>
    <col min="1" max="1" width="14.26171875" bestFit="1" customWidth="1"/>
    <col min="2" max="2" width="18.68359375" customWidth="1"/>
    <col min="3" max="3" width="27.26171875" style="9" bestFit="1" customWidth="1"/>
    <col min="4" max="4" width="16.578125" customWidth="1"/>
    <col min="5" max="5" width="11" bestFit="1" customWidth="1"/>
    <col min="6" max="6" width="22" bestFit="1" customWidth="1"/>
    <col min="7" max="7" width="40" bestFit="1" customWidth="1"/>
    <col min="8" max="8" width="40" customWidth="1"/>
    <col min="9" max="9" width="9" customWidth="1"/>
    <col min="10" max="10" width="29.1015625" bestFit="1" customWidth="1"/>
  </cols>
  <sheetData>
    <row r="1" spans="1:10" x14ac:dyDescent="0.55000000000000004">
      <c r="A1" s="2" t="s">
        <v>69</v>
      </c>
      <c r="B1" s="3" t="s">
        <v>2</v>
      </c>
      <c r="C1" s="3" t="s">
        <v>3</v>
      </c>
      <c r="D1" s="10" t="s">
        <v>92</v>
      </c>
      <c r="E1" s="3" t="s">
        <v>0</v>
      </c>
      <c r="F1" s="3" t="s">
        <v>21</v>
      </c>
      <c r="G1" s="3" t="s">
        <v>22</v>
      </c>
      <c r="H1" s="4" t="s">
        <v>4</v>
      </c>
      <c r="J1" s="14" t="s">
        <v>62</v>
      </c>
    </row>
    <row r="2" spans="1:10" x14ac:dyDescent="0.55000000000000004">
      <c r="A2" s="5" t="s">
        <v>72</v>
      </c>
      <c r="B2" s="1" t="s">
        <v>42</v>
      </c>
      <c r="C2" s="1" t="s">
        <v>1</v>
      </c>
      <c r="D2" s="11">
        <v>44971.640451388892</v>
      </c>
      <c r="E2" s="1" t="s">
        <v>43</v>
      </c>
      <c r="F2" s="1" t="s">
        <v>23</v>
      </c>
      <c r="G2" s="1" t="s">
        <v>24</v>
      </c>
      <c r="H2" s="6" t="s">
        <v>11</v>
      </c>
      <c r="J2" t="str">
        <f>_xlfn.TEXTJOIN(" ",TRUE,F2,G2)</f>
        <v>457 Oak St San Jose, CA, 95101</v>
      </c>
    </row>
    <row r="3" spans="1:10" x14ac:dyDescent="0.55000000000000004">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55000000000000004">
      <c r="A4" s="5" t="s">
        <v>73</v>
      </c>
      <c r="B4" s="1" t="s">
        <v>58</v>
      </c>
      <c r="C4" s="1" t="s">
        <v>12</v>
      </c>
      <c r="D4" s="11">
        <v>45128.729710648149</v>
      </c>
      <c r="E4" s="1" t="s">
        <v>59</v>
      </c>
      <c r="F4" s="1" t="s">
        <v>27</v>
      </c>
      <c r="G4" s="1" t="s">
        <v>26</v>
      </c>
      <c r="H4" s="6" t="s">
        <v>6</v>
      </c>
      <c r="J4" t="str">
        <f t="shared" si="0"/>
        <v>790 Pine St Chicago, IL, 60601</v>
      </c>
    </row>
    <row r="5" spans="1:10" x14ac:dyDescent="0.55000000000000004">
      <c r="A5" s="5" t="s">
        <v>74</v>
      </c>
      <c r="B5" s="1" t="s">
        <v>42</v>
      </c>
      <c r="C5" s="1" t="s">
        <v>5</v>
      </c>
      <c r="D5" s="11">
        <v>45173.302187499998</v>
      </c>
      <c r="E5" s="1" t="s">
        <v>43</v>
      </c>
      <c r="F5" s="1" t="s">
        <v>23</v>
      </c>
      <c r="G5" s="1" t="s">
        <v>24</v>
      </c>
      <c r="H5" s="6" t="s">
        <v>11</v>
      </c>
      <c r="J5" t="str">
        <f t="shared" si="0"/>
        <v>457 Oak St San Jose, CA, 95101</v>
      </c>
    </row>
    <row r="6" spans="1:10" x14ac:dyDescent="0.55000000000000004">
      <c r="A6" s="5" t="s">
        <v>75</v>
      </c>
      <c r="B6" s="1" t="s">
        <v>40</v>
      </c>
      <c r="C6" s="1" t="s">
        <v>7</v>
      </c>
      <c r="D6" s="11">
        <v>45248.70857638889</v>
      </c>
      <c r="E6" s="1" t="s">
        <v>41</v>
      </c>
      <c r="F6" s="1" t="s">
        <v>29</v>
      </c>
      <c r="G6" s="1" t="s">
        <v>30</v>
      </c>
      <c r="H6" s="6" t="s">
        <v>10</v>
      </c>
      <c r="J6" t="str">
        <f t="shared" si="0"/>
        <v>459 Oak St Philadelphia, PA, 19101</v>
      </c>
    </row>
    <row r="7" spans="1:10" x14ac:dyDescent="0.55000000000000004">
      <c r="A7" s="5" t="s">
        <v>76</v>
      </c>
      <c r="B7" s="1" t="s">
        <v>46</v>
      </c>
      <c r="C7" s="1" t="s">
        <v>9</v>
      </c>
      <c r="D7" s="11">
        <v>45302.531921296293</v>
      </c>
      <c r="E7" s="1" t="s">
        <v>47</v>
      </c>
      <c r="F7" s="1" t="s">
        <v>31</v>
      </c>
      <c r="G7" s="1" t="s">
        <v>30</v>
      </c>
      <c r="H7" s="6" t="s">
        <v>15</v>
      </c>
      <c r="J7" t="str">
        <f t="shared" si="0"/>
        <v>204 Birch St Philadelphia, PA, 19101</v>
      </c>
    </row>
    <row r="8" spans="1:10" x14ac:dyDescent="0.55000000000000004">
      <c r="A8" s="5" t="s">
        <v>77</v>
      </c>
      <c r="B8" s="1" t="s">
        <v>58</v>
      </c>
      <c r="C8" s="1" t="s">
        <v>5</v>
      </c>
      <c r="D8" s="11">
        <v>45354.687881944446</v>
      </c>
      <c r="E8" s="1" t="s">
        <v>59</v>
      </c>
      <c r="F8" s="1" t="s">
        <v>27</v>
      </c>
      <c r="G8" s="1" t="s">
        <v>26</v>
      </c>
      <c r="H8" s="6" t="s">
        <v>6</v>
      </c>
      <c r="J8" t="str">
        <f t="shared" si="0"/>
        <v>790 Pine St Chicago, IL, 60601</v>
      </c>
    </row>
    <row r="9" spans="1:10" x14ac:dyDescent="0.55000000000000004">
      <c r="A9" s="5" t="s">
        <v>78</v>
      </c>
      <c r="B9" s="1" t="s">
        <v>46</v>
      </c>
      <c r="C9" s="1" t="s">
        <v>1</v>
      </c>
      <c r="D9" s="11">
        <v>45408.340810185182</v>
      </c>
      <c r="E9" s="1" t="s">
        <v>47</v>
      </c>
      <c r="F9" s="1" t="s">
        <v>31</v>
      </c>
      <c r="G9" s="1" t="s">
        <v>30</v>
      </c>
      <c r="H9" s="6" t="s">
        <v>15</v>
      </c>
      <c r="J9" t="str">
        <f t="shared" si="0"/>
        <v>204 Birch St Philadelphia, PA, 19101</v>
      </c>
    </row>
    <row r="10" spans="1:10" x14ac:dyDescent="0.55000000000000004">
      <c r="A10" s="5" t="s">
        <v>79</v>
      </c>
      <c r="B10" s="1" t="s">
        <v>50</v>
      </c>
      <c r="C10" s="1" t="s">
        <v>7</v>
      </c>
      <c r="D10" s="11">
        <v>45458.743333333332</v>
      </c>
      <c r="E10" s="1" t="s">
        <v>51</v>
      </c>
      <c r="F10" s="1" t="s">
        <v>33</v>
      </c>
      <c r="G10" s="1" t="s">
        <v>26</v>
      </c>
      <c r="H10" s="6" t="s">
        <v>18</v>
      </c>
      <c r="J10" t="str">
        <f t="shared" si="0"/>
        <v>123 Elm St Chicago, IL, 60601</v>
      </c>
    </row>
    <row r="11" spans="1:10" x14ac:dyDescent="0.55000000000000004">
      <c r="A11" s="5" t="s">
        <v>80</v>
      </c>
      <c r="B11" s="1" t="s">
        <v>54</v>
      </c>
      <c r="C11" s="1" t="s">
        <v>12</v>
      </c>
      <c r="D11" s="11">
        <v>45480.608055555553</v>
      </c>
      <c r="E11" s="1" t="s">
        <v>55</v>
      </c>
      <c r="F11" s="1" t="s">
        <v>33</v>
      </c>
      <c r="G11" s="1" t="s">
        <v>32</v>
      </c>
      <c r="H11" s="6" t="s">
        <v>13</v>
      </c>
      <c r="J11" t="str">
        <f t="shared" si="0"/>
        <v>123 Elm St Los Angeles, CA, 90001</v>
      </c>
    </row>
    <row r="12" spans="1:10" x14ac:dyDescent="0.55000000000000004">
      <c r="A12" s="5" t="s">
        <v>81</v>
      </c>
      <c r="B12" s="1" t="s">
        <v>44</v>
      </c>
      <c r="C12" s="1" t="s">
        <v>7</v>
      </c>
      <c r="D12" s="11">
        <v>45455.284930555557</v>
      </c>
      <c r="E12" s="1" t="s">
        <v>45</v>
      </c>
      <c r="F12" s="1" t="s">
        <v>33</v>
      </c>
      <c r="G12" s="1" t="s">
        <v>34</v>
      </c>
      <c r="H12" s="6" t="s">
        <v>17</v>
      </c>
      <c r="J12" t="str">
        <f t="shared" si="0"/>
        <v>123 Elm St San Diego, CA, 92101</v>
      </c>
    </row>
    <row r="13" spans="1:10" x14ac:dyDescent="0.55000000000000004">
      <c r="A13" s="5" t="s">
        <v>82</v>
      </c>
      <c r="B13" s="1" t="s">
        <v>56</v>
      </c>
      <c r="C13" s="1" t="s">
        <v>9</v>
      </c>
      <c r="D13" s="11">
        <v>44951.552141203705</v>
      </c>
      <c r="E13" s="1" t="s">
        <v>57</v>
      </c>
      <c r="F13" s="1" t="s">
        <v>35</v>
      </c>
      <c r="G13" s="1" t="s">
        <v>26</v>
      </c>
      <c r="H13" s="6" t="s">
        <v>16</v>
      </c>
      <c r="J13" t="str">
        <f t="shared" si="0"/>
        <v>202 Birch St Chicago, IL, 60601</v>
      </c>
    </row>
    <row r="14" spans="1:10" x14ac:dyDescent="0.55000000000000004">
      <c r="A14" s="5" t="s">
        <v>83</v>
      </c>
      <c r="B14" s="1" t="s">
        <v>46</v>
      </c>
      <c r="C14" s="1" t="s">
        <v>12</v>
      </c>
      <c r="D14" s="11">
        <v>45002.490034722221</v>
      </c>
      <c r="E14" s="1" t="s">
        <v>47</v>
      </c>
      <c r="F14" s="1" t="s">
        <v>31</v>
      </c>
      <c r="G14" s="1" t="s">
        <v>30</v>
      </c>
      <c r="H14" s="6" t="s">
        <v>15</v>
      </c>
      <c r="J14" t="str">
        <f t="shared" si="0"/>
        <v>204 Birch St Philadelphia, PA, 19101</v>
      </c>
    </row>
    <row r="15" spans="1:10" x14ac:dyDescent="0.55000000000000004">
      <c r="A15" s="5" t="s">
        <v>84</v>
      </c>
      <c r="B15" s="1" t="s">
        <v>52</v>
      </c>
      <c r="C15" s="1" t="s">
        <v>9</v>
      </c>
      <c r="D15" s="11">
        <v>45078.417256944442</v>
      </c>
      <c r="E15" s="1" t="s">
        <v>53</v>
      </c>
      <c r="F15" s="1" t="s">
        <v>33</v>
      </c>
      <c r="G15" s="1" t="s">
        <v>26</v>
      </c>
      <c r="H15" s="6" t="s">
        <v>19</v>
      </c>
      <c r="J15" t="str">
        <f t="shared" si="0"/>
        <v>123 Elm St Chicago, IL, 60601</v>
      </c>
    </row>
    <row r="16" spans="1:10" x14ac:dyDescent="0.55000000000000004">
      <c r="A16" s="5" t="s">
        <v>85</v>
      </c>
      <c r="B16" s="1" t="s">
        <v>60</v>
      </c>
      <c r="C16" s="1" t="s">
        <v>9</v>
      </c>
      <c r="D16" s="11">
        <v>45168.729328703703</v>
      </c>
      <c r="E16" s="1" t="s">
        <v>61</v>
      </c>
      <c r="F16" s="1" t="s">
        <v>28</v>
      </c>
      <c r="G16" s="1" t="s">
        <v>26</v>
      </c>
      <c r="H16" s="6" t="s">
        <v>20</v>
      </c>
      <c r="J16" t="str">
        <f t="shared" si="0"/>
        <v>456 Oak St Chicago, IL, 60601</v>
      </c>
    </row>
    <row r="17" spans="1:10" x14ac:dyDescent="0.55000000000000004">
      <c r="A17" s="5" t="s">
        <v>86</v>
      </c>
      <c r="B17" s="1" t="s">
        <v>38</v>
      </c>
      <c r="C17" s="1" t="s">
        <v>7</v>
      </c>
      <c r="D17" s="11">
        <v>45218.319780092592</v>
      </c>
      <c r="E17" s="1" t="s">
        <v>39</v>
      </c>
      <c r="F17" s="1" t="s">
        <v>25</v>
      </c>
      <c r="G17" s="1" t="s">
        <v>37</v>
      </c>
      <c r="H17" s="6" t="s">
        <v>14</v>
      </c>
      <c r="J17" t="str">
        <f t="shared" si="0"/>
        <v>203 Birch St Chicago, IL, 60602</v>
      </c>
    </row>
    <row r="18" spans="1:10" x14ac:dyDescent="0.55000000000000004">
      <c r="A18" s="5" t="s">
        <v>87</v>
      </c>
      <c r="B18" s="1" t="s">
        <v>40</v>
      </c>
      <c r="C18" s="1" t="s">
        <v>12</v>
      </c>
      <c r="D18" s="11">
        <v>45350.719236111108</v>
      </c>
      <c r="E18" s="1" t="s">
        <v>41</v>
      </c>
      <c r="F18" s="1" t="s">
        <v>29</v>
      </c>
      <c r="G18" s="1" t="s">
        <v>30</v>
      </c>
      <c r="H18" s="6" t="s">
        <v>10</v>
      </c>
      <c r="J18" t="str">
        <f t="shared" si="0"/>
        <v>459 Oak St Philadelphia, PA, 19101</v>
      </c>
    </row>
    <row r="19" spans="1:10" x14ac:dyDescent="0.55000000000000004">
      <c r="A19" s="5" t="s">
        <v>88</v>
      </c>
      <c r="B19" s="1" t="s">
        <v>48</v>
      </c>
      <c r="C19" s="1" t="s">
        <v>7</v>
      </c>
      <c r="D19" s="11">
        <v>45418.726354166669</v>
      </c>
      <c r="E19" s="1" t="s">
        <v>49</v>
      </c>
      <c r="F19" s="1" t="s">
        <v>28</v>
      </c>
      <c r="G19" s="1" t="s">
        <v>36</v>
      </c>
      <c r="H19" s="6" t="s">
        <v>8</v>
      </c>
      <c r="J19" t="str">
        <f t="shared" si="0"/>
        <v>456 Oak St New York, NY, 10001</v>
      </c>
    </row>
    <row r="20" spans="1:10" x14ac:dyDescent="0.55000000000000004">
      <c r="A20" s="5" t="s">
        <v>89</v>
      </c>
      <c r="B20" s="1" t="s">
        <v>40</v>
      </c>
      <c r="C20" s="1" t="s">
        <v>9</v>
      </c>
      <c r="D20" s="11">
        <v>45496.291701388887</v>
      </c>
      <c r="E20" s="1" t="s">
        <v>41</v>
      </c>
      <c r="F20" s="1" t="s">
        <v>29</v>
      </c>
      <c r="G20" s="1" t="s">
        <v>30</v>
      </c>
      <c r="H20" s="6" t="s">
        <v>10</v>
      </c>
      <c r="J20" t="str">
        <f t="shared" si="0"/>
        <v>459 Oak St Philadelphia, PA, 19101</v>
      </c>
    </row>
    <row r="21" spans="1:10" ht="14.7" thickBot="1" x14ac:dyDescent="0.6">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H1" workbookViewId="0"/>
  </sheetViews>
  <sheetFormatPr defaultRowHeight="14.4" x14ac:dyDescent="0.55000000000000004"/>
  <cols>
    <col min="1" max="1" width="14.26171875" bestFit="1" customWidth="1"/>
    <col min="2" max="2" width="23.41796875" bestFit="1" customWidth="1"/>
    <col min="3" max="3" width="29" style="9" customWidth="1"/>
    <col min="4" max="4" width="16" customWidth="1"/>
    <col min="5" max="5" width="11.83984375" customWidth="1"/>
    <col min="6" max="6" width="22" customWidth="1"/>
    <col min="7" max="8" width="40" customWidth="1"/>
    <col min="9" max="9" width="10.578125" bestFit="1" customWidth="1"/>
    <col min="10" max="10" width="10.1015625" bestFit="1" customWidth="1"/>
    <col min="12" max="12" width="27.26171875" bestFit="1" customWidth="1"/>
    <col min="13" max="13" width="17.68359375" bestFit="1" customWidth="1"/>
    <col min="14" max="14" width="18.578125" bestFit="1" customWidth="1"/>
  </cols>
  <sheetData>
    <row r="1" spans="1:14" x14ac:dyDescent="0.55000000000000004">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55000000000000004">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55000000000000004">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55000000000000004">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55000000000000004">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55000000000000004">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55000000000000004">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55000000000000004">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55000000000000004">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55000000000000004">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55000000000000004">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55000000000000004">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55000000000000004">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55000000000000004">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55000000000000004">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55000000000000004">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55000000000000004">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55000000000000004">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55000000000000004">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55000000000000004">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4.7" thickBot="1" x14ac:dyDescent="0.6">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C1" zoomScaleNormal="100" workbookViewId="0"/>
  </sheetViews>
  <sheetFormatPr defaultRowHeight="14.4" x14ac:dyDescent="0.55000000000000004"/>
  <cols>
    <col min="1" max="1" width="14.26171875" bestFit="1" customWidth="1"/>
    <col min="2" max="2" width="23.41796875" bestFit="1" customWidth="1"/>
    <col min="3" max="3" width="14" style="9" customWidth="1"/>
    <col min="4" max="4" width="16.1015625" customWidth="1"/>
    <col min="5" max="5" width="26.1015625" customWidth="1"/>
    <col min="6" max="6" width="22" bestFit="1" customWidth="1"/>
    <col min="7" max="7" width="37" customWidth="1"/>
    <col min="8" max="8" width="40" hidden="1" customWidth="1"/>
    <col min="9" max="9" width="11.578125" hidden="1" customWidth="1"/>
    <col min="10" max="10" width="9.1015625" customWidth="1"/>
  </cols>
  <sheetData>
    <row r="1" spans="1:12" x14ac:dyDescent="0.55000000000000004">
      <c r="A1" s="2" t="s">
        <v>69</v>
      </c>
      <c r="B1" s="3" t="s">
        <v>2</v>
      </c>
      <c r="C1" s="3" t="s">
        <v>3</v>
      </c>
      <c r="D1" s="10" t="s">
        <v>92</v>
      </c>
      <c r="E1" s="3" t="s">
        <v>0</v>
      </c>
      <c r="F1" s="3" t="s">
        <v>21</v>
      </c>
      <c r="G1" s="3" t="s">
        <v>22</v>
      </c>
      <c r="H1" s="4" t="s">
        <v>4</v>
      </c>
      <c r="J1" s="17" t="s">
        <v>64</v>
      </c>
      <c r="K1" s="17"/>
      <c r="L1" s="17"/>
    </row>
    <row r="2" spans="1:12" x14ac:dyDescent="0.55000000000000004">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55000000000000004">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55000000000000004">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55000000000000004">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55000000000000004">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55000000000000004">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55000000000000004">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55000000000000004">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55000000000000004">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55000000000000004">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55000000000000004">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55000000000000004">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55000000000000004">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55000000000000004">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55000000000000004">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55000000000000004">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55000000000000004">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55000000000000004">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55000000000000004">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4.7" thickBot="1" x14ac:dyDescent="0.6">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83"/>
  <sheetViews>
    <sheetView tabSelected="1" topLeftCell="A22" zoomScale="120" zoomScaleNormal="120" workbookViewId="0">
      <selection activeCell="B9" sqref="B9"/>
    </sheetView>
  </sheetViews>
  <sheetFormatPr defaultRowHeight="14.4" x14ac:dyDescent="0.55000000000000004"/>
  <cols>
    <col min="1" max="1" width="24.41796875" customWidth="1"/>
  </cols>
  <sheetData>
    <row r="2" spans="1:75" x14ac:dyDescent="0.55000000000000004">
      <c r="A2" s="15" t="s">
        <v>94</v>
      </c>
      <c r="B2" s="16"/>
    </row>
    <row r="3" spans="1:75" x14ac:dyDescent="0.55000000000000004">
      <c r="A3" t="str">
        <f>TRIM(CLEAN(_xlfn.TEXTJOIN(",", TRUE, Data!H2:H21)))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75" x14ac:dyDescent="0.55000000000000004">
      <c r="A5" s="15" t="s">
        <v>67</v>
      </c>
      <c r="B5" s="16"/>
    </row>
    <row r="6" spans="1:75" x14ac:dyDescent="0.55000000000000004">
      <c r="A6" t="str" cm="1">
        <f t="array" ref="A6:BW6">TRIM(CLEAN(_xlfn.TEXTSPLIT(A3,",")))</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55000000000000004">
      <c r="A8" s="15" t="s">
        <v>68</v>
      </c>
      <c r="B8" s="15" t="s">
        <v>93</v>
      </c>
      <c r="C8" s="16"/>
      <c r="D8" s="16"/>
      <c r="E8" s="16"/>
      <c r="F8" s="16"/>
    </row>
    <row r="9" spans="1:75" x14ac:dyDescent="0.55000000000000004">
      <c r="A9" s="1" t="str" cm="1">
        <f t="array" ref="A9:A24">_xlfn.UNIQUE(TRANSPOSE(_xlfn._xlws.FILTER(6:6,6:6&lt;&gt;"")))</f>
        <v>Kafka</v>
      </c>
      <c r="B9" s="1">
        <f>COUNTIF($6:$6,A9)</f>
        <v>3</v>
      </c>
    </row>
    <row r="10" spans="1:75" x14ac:dyDescent="0.55000000000000004">
      <c r="A10" s="1" t="str">
        <v>DataBricks</v>
      </c>
      <c r="B10" s="1">
        <f t="shared" ref="B10:B24" si="0">COUNTIF($6:$6,A10)</f>
        <v>12</v>
      </c>
    </row>
    <row r="11" spans="1:75" x14ac:dyDescent="0.55000000000000004">
      <c r="A11" s="1" t="str">
        <v>Spark</v>
      </c>
      <c r="B11" s="1">
        <f t="shared" si="0"/>
        <v>2</v>
      </c>
    </row>
    <row r="12" spans="1:75" x14ac:dyDescent="0.55000000000000004">
      <c r="A12" s="1" t="str">
        <v>Python</v>
      </c>
      <c r="B12" s="1">
        <f t="shared" si="0"/>
        <v>2</v>
      </c>
    </row>
    <row r="13" spans="1:75" x14ac:dyDescent="0.55000000000000004">
      <c r="A13" s="1" t="str">
        <v>GCP</v>
      </c>
      <c r="B13" s="1">
        <f t="shared" si="0"/>
        <v>4</v>
      </c>
    </row>
    <row r="14" spans="1:75" x14ac:dyDescent="0.55000000000000004">
      <c r="A14" s="1" t="str">
        <v>Power BI</v>
      </c>
      <c r="B14" s="1">
        <f t="shared" si="0"/>
        <v>5</v>
      </c>
    </row>
    <row r="15" spans="1:75" x14ac:dyDescent="0.55000000000000004">
      <c r="A15" s="1" t="str">
        <v>Airflow</v>
      </c>
      <c r="B15" s="1">
        <f t="shared" si="0"/>
        <v>6</v>
      </c>
    </row>
    <row r="16" spans="1:75" x14ac:dyDescent="0.55000000000000004">
      <c r="A16" s="1" t="str">
        <v>Hadoop</v>
      </c>
      <c r="B16" s="1">
        <f t="shared" si="0"/>
        <v>7</v>
      </c>
    </row>
    <row r="17" spans="1:2" x14ac:dyDescent="0.55000000000000004">
      <c r="A17" s="1" t="str">
        <v>R</v>
      </c>
      <c r="B17" s="1">
        <f t="shared" si="0"/>
        <v>6</v>
      </c>
    </row>
    <row r="18" spans="1:2" x14ac:dyDescent="0.55000000000000004">
      <c r="A18" s="1" t="str">
        <v>Azure</v>
      </c>
      <c r="B18" s="1">
        <f t="shared" si="0"/>
        <v>4</v>
      </c>
    </row>
    <row r="19" spans="1:2" x14ac:dyDescent="0.55000000000000004">
      <c r="A19" s="1" t="str">
        <v>Java</v>
      </c>
      <c r="B19" s="1">
        <f t="shared" si="0"/>
        <v>7</v>
      </c>
    </row>
    <row r="20" spans="1:2" x14ac:dyDescent="0.55000000000000004">
      <c r="A20" s="1" t="str">
        <v>SQL</v>
      </c>
      <c r="B20" s="1">
        <f t="shared" si="0"/>
        <v>4</v>
      </c>
    </row>
    <row r="21" spans="1:2" x14ac:dyDescent="0.55000000000000004">
      <c r="A21" s="1" t="str">
        <v>Snowflake</v>
      </c>
      <c r="B21" s="1">
        <f t="shared" si="0"/>
        <v>5</v>
      </c>
    </row>
    <row r="22" spans="1:2" x14ac:dyDescent="0.55000000000000004">
      <c r="A22" s="1" t="str">
        <v>Scala</v>
      </c>
      <c r="B22" s="1">
        <f t="shared" si="0"/>
        <v>5</v>
      </c>
    </row>
    <row r="23" spans="1:2" x14ac:dyDescent="0.55000000000000004">
      <c r="A23" s="1" t="str">
        <v>Excel</v>
      </c>
      <c r="B23" s="1">
        <f t="shared" si="0"/>
        <v>2</v>
      </c>
    </row>
    <row r="24" spans="1:2" x14ac:dyDescent="0.55000000000000004">
      <c r="A24" s="1" t="str">
        <v>Tableau</v>
      </c>
      <c r="B24" s="1">
        <f t="shared" si="0"/>
        <v>1</v>
      </c>
    </row>
    <row r="25" spans="1:2" x14ac:dyDescent="0.55000000000000004">
      <c r="A25" s="1"/>
      <c r="B25" s="1"/>
    </row>
    <row r="26" spans="1:2" x14ac:dyDescent="0.55000000000000004">
      <c r="B26" s="1"/>
    </row>
    <row r="27" spans="1:2" x14ac:dyDescent="0.55000000000000004">
      <c r="B27" s="1"/>
    </row>
    <row r="28" spans="1:2" x14ac:dyDescent="0.55000000000000004">
      <c r="B28" s="1"/>
    </row>
    <row r="29" spans="1:2" x14ac:dyDescent="0.55000000000000004">
      <c r="B29" s="1"/>
    </row>
    <row r="30" spans="1:2" x14ac:dyDescent="0.55000000000000004">
      <c r="B30" s="1"/>
    </row>
    <row r="31" spans="1:2" x14ac:dyDescent="0.55000000000000004">
      <c r="B31" s="1"/>
    </row>
    <row r="32" spans="1:2" x14ac:dyDescent="0.55000000000000004">
      <c r="B32" s="1"/>
    </row>
    <row r="33" spans="2:2" x14ac:dyDescent="0.55000000000000004">
      <c r="B33" s="1"/>
    </row>
    <row r="34" spans="2:2" x14ac:dyDescent="0.55000000000000004">
      <c r="B34" s="1"/>
    </row>
    <row r="35" spans="2:2" x14ac:dyDescent="0.55000000000000004">
      <c r="B35" s="1"/>
    </row>
    <row r="36" spans="2:2" x14ac:dyDescent="0.55000000000000004">
      <c r="B36" s="1"/>
    </row>
    <row r="37" spans="2:2" x14ac:dyDescent="0.55000000000000004">
      <c r="B37" s="1"/>
    </row>
    <row r="38" spans="2:2" x14ac:dyDescent="0.55000000000000004">
      <c r="B38" s="1"/>
    </row>
    <row r="39" spans="2:2" x14ac:dyDescent="0.55000000000000004">
      <c r="B39" s="1"/>
    </row>
    <row r="40" spans="2:2" x14ac:dyDescent="0.55000000000000004">
      <c r="B40" s="1"/>
    </row>
    <row r="41" spans="2:2" x14ac:dyDescent="0.55000000000000004">
      <c r="B41" s="1"/>
    </row>
    <row r="42" spans="2:2" x14ac:dyDescent="0.55000000000000004">
      <c r="B42" s="1"/>
    </row>
    <row r="43" spans="2:2" x14ac:dyDescent="0.55000000000000004">
      <c r="B43" s="1"/>
    </row>
    <row r="44" spans="2:2" x14ac:dyDescent="0.55000000000000004">
      <c r="B44" s="1"/>
    </row>
    <row r="45" spans="2:2" x14ac:dyDescent="0.55000000000000004">
      <c r="B45" s="1"/>
    </row>
    <row r="46" spans="2:2" x14ac:dyDescent="0.55000000000000004">
      <c r="B46" s="1"/>
    </row>
    <row r="47" spans="2:2" x14ac:dyDescent="0.55000000000000004">
      <c r="B47" s="1"/>
    </row>
    <row r="48" spans="2:2" x14ac:dyDescent="0.55000000000000004">
      <c r="B48" s="1"/>
    </row>
    <row r="49" spans="2:2" x14ac:dyDescent="0.55000000000000004">
      <c r="B49" s="1"/>
    </row>
    <row r="50" spans="2:2" x14ac:dyDescent="0.55000000000000004">
      <c r="B50" s="1"/>
    </row>
    <row r="51" spans="2:2" x14ac:dyDescent="0.55000000000000004">
      <c r="B51" s="1"/>
    </row>
    <row r="52" spans="2:2" x14ac:dyDescent="0.55000000000000004">
      <c r="B52" s="1"/>
    </row>
    <row r="53" spans="2:2" x14ac:dyDescent="0.55000000000000004">
      <c r="B53" s="1"/>
    </row>
    <row r="54" spans="2:2" x14ac:dyDescent="0.55000000000000004">
      <c r="B54" s="1"/>
    </row>
    <row r="55" spans="2:2" x14ac:dyDescent="0.55000000000000004">
      <c r="B55" s="1"/>
    </row>
    <row r="56" spans="2:2" x14ac:dyDescent="0.55000000000000004">
      <c r="B56" s="1"/>
    </row>
    <row r="57" spans="2:2" x14ac:dyDescent="0.55000000000000004">
      <c r="B57" s="1"/>
    </row>
    <row r="58" spans="2:2" x14ac:dyDescent="0.55000000000000004">
      <c r="B58" s="1"/>
    </row>
    <row r="59" spans="2:2" x14ac:dyDescent="0.55000000000000004">
      <c r="B59" s="1"/>
    </row>
    <row r="60" spans="2:2" x14ac:dyDescent="0.55000000000000004">
      <c r="B60" s="1"/>
    </row>
    <row r="61" spans="2:2" x14ac:dyDescent="0.55000000000000004">
      <c r="B61" s="1"/>
    </row>
    <row r="62" spans="2:2" x14ac:dyDescent="0.55000000000000004">
      <c r="B62" s="1"/>
    </row>
    <row r="63" spans="2:2" x14ac:dyDescent="0.55000000000000004">
      <c r="B63" s="1"/>
    </row>
    <row r="64" spans="2:2" x14ac:dyDescent="0.55000000000000004">
      <c r="B64" s="1"/>
    </row>
    <row r="65" spans="2:2" x14ac:dyDescent="0.55000000000000004">
      <c r="B65" s="1"/>
    </row>
    <row r="66" spans="2:2" x14ac:dyDescent="0.55000000000000004">
      <c r="B66" s="1"/>
    </row>
    <row r="67" spans="2:2" x14ac:dyDescent="0.55000000000000004">
      <c r="B67" s="1"/>
    </row>
    <row r="68" spans="2:2" x14ac:dyDescent="0.55000000000000004">
      <c r="B68" s="1"/>
    </row>
    <row r="69" spans="2:2" x14ac:dyDescent="0.55000000000000004">
      <c r="B69" s="1"/>
    </row>
    <row r="70" spans="2:2" x14ac:dyDescent="0.55000000000000004">
      <c r="B70" s="1"/>
    </row>
    <row r="71" spans="2:2" x14ac:dyDescent="0.55000000000000004">
      <c r="B71" s="1"/>
    </row>
    <row r="72" spans="2:2" x14ac:dyDescent="0.55000000000000004">
      <c r="B72" s="1"/>
    </row>
    <row r="73" spans="2:2" x14ac:dyDescent="0.55000000000000004">
      <c r="B73" s="1"/>
    </row>
    <row r="74" spans="2:2" x14ac:dyDescent="0.55000000000000004">
      <c r="B74" s="1"/>
    </row>
    <row r="75" spans="2:2" x14ac:dyDescent="0.55000000000000004">
      <c r="B75" s="1"/>
    </row>
    <row r="76" spans="2:2" x14ac:dyDescent="0.55000000000000004">
      <c r="B76" s="1"/>
    </row>
    <row r="77" spans="2:2" x14ac:dyDescent="0.55000000000000004">
      <c r="B77" s="1"/>
    </row>
    <row r="78" spans="2:2" x14ac:dyDescent="0.55000000000000004">
      <c r="B78" s="1"/>
    </row>
    <row r="79" spans="2:2" x14ac:dyDescent="0.55000000000000004">
      <c r="B79" s="1"/>
    </row>
    <row r="80" spans="2:2" x14ac:dyDescent="0.55000000000000004">
      <c r="B80" s="1"/>
    </row>
    <row r="81" spans="2:2" x14ac:dyDescent="0.55000000000000004">
      <c r="B81" s="1"/>
    </row>
    <row r="82" spans="2:2" x14ac:dyDescent="0.55000000000000004">
      <c r="B82" s="1"/>
    </row>
    <row r="83" spans="2:2" x14ac:dyDescent="0.55000000000000004">
      <c r="B83"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Cristian Cervantes</cp:lastModifiedBy>
  <dcterms:created xsi:type="dcterms:W3CDTF">2015-06-05T18:17:20Z</dcterms:created>
  <dcterms:modified xsi:type="dcterms:W3CDTF">2026-03-27T08:21:34Z</dcterms:modified>
</cp:coreProperties>
</file>